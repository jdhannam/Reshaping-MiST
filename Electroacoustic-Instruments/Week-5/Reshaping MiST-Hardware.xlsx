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9bf01a4b9f9205/Documents/00-MyDocs/01-Teaching/Courses/02_Studios/2025-Reshaping MIST/2026-S2/"/>
    </mc:Choice>
  </mc:AlternateContent>
  <xr:revisionPtr revIDLastSave="64" documentId="13_ncr:1_{9289D91B-6C8A-4148-A527-0BA4D896BE61}" xr6:coauthVersionLast="47" xr6:coauthVersionMax="47" xr10:uidLastSave="{4CD95C16-6E85-45C1-8E80-0D1C618A49CC}"/>
  <bookViews>
    <workbookView xWindow="10890" yWindow="2535" windowWidth="21540" windowHeight="16230" xr2:uid="{E72017A4-867B-CE46-9B46-9630E17E4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D20" i="1"/>
  <c r="D10" i="1"/>
  <c r="F34" i="1"/>
</calcChain>
</file>

<file path=xl/sharedStrings.xml><?xml version="1.0" encoding="utf-8"?>
<sst xmlns="http://schemas.openxmlformats.org/spreadsheetml/2006/main" count="94" uniqueCount="54">
  <si>
    <t>Adafruit_feather_RP2040_prop_maker</t>
  </si>
  <si>
    <t>type</t>
  </si>
  <si>
    <t>controller</t>
  </si>
  <si>
    <t>3W 4Ohm speaker</t>
  </si>
  <si>
    <t>Expansion board</t>
  </si>
  <si>
    <t>Adafruit I2S Stereo Decoder - UDA1334A Breakout</t>
  </si>
  <si>
    <t>Devices</t>
  </si>
  <si>
    <t>USB-C data/power cable</t>
  </si>
  <si>
    <t>programming</t>
  </si>
  <si>
    <t>sensors</t>
  </si>
  <si>
    <t>audio</t>
  </si>
  <si>
    <t>for sensors</t>
  </si>
  <si>
    <t>ADAFRUIT I2S 3W CLASS D AMPLIFIER BREAKOUT - MAX98357A</t>
  </si>
  <si>
    <t>audo</t>
  </si>
  <si>
    <t>Micro USB data/power cable</t>
  </si>
  <si>
    <t>3W 4 Ohm speaker</t>
  </si>
  <si>
    <t>-</t>
  </si>
  <si>
    <t>https://core-electronics.com.au/</t>
  </si>
  <si>
    <t>Kits</t>
  </si>
  <si>
    <t>PiicoDev Splitter</t>
  </si>
  <si>
    <t>PiicoDev Cable 100mm</t>
  </si>
  <si>
    <t>https://core-electronics.com.au/piicodev-starter-kit-for-raspberry-pi-pico.html</t>
  </si>
  <si>
    <t>The v1.2 kit includes</t>
  </si>
  <si>
    <t>PiicoDev Expansion Board</t>
  </si>
  <si>
    <t>OLED Module</t>
  </si>
  <si>
    <t>Atmospheric Sensor</t>
  </si>
  <si>
    <t>Buzzer Module</t>
  </si>
  <si>
    <t>Colour Sensor</t>
  </si>
  <si>
    <t>Capacitive Touch Sensor</t>
  </si>
  <si>
    <t>Accelerometer</t>
  </si>
  <si>
    <t>Laser Distance Sensor</t>
  </si>
  <si>
    <t>Assorted PiicoDev Cables - 4x50mm, 2x100mm, 2x200mm</t>
  </si>
  <si>
    <t>PiicoDev Platform</t>
  </si>
  <si>
    <t>Pico starter Kit v1.2</t>
  </si>
  <si>
    <t>Notes</t>
  </si>
  <si>
    <t>sensors should be i2C compatible</t>
  </si>
  <si>
    <t>sensors should use STEMMA QT connectors</t>
  </si>
  <si>
    <t>Est. price</t>
  </si>
  <si>
    <t>add needed sensors</t>
  </si>
  <si>
    <t>RGB LED Module</t>
  </si>
  <si>
    <t>connectors</t>
  </si>
  <si>
    <t>Qty</t>
  </si>
  <si>
    <t>Total</t>
  </si>
  <si>
    <t>PiicoDev Cable 50mm</t>
  </si>
  <si>
    <t>headphone output</t>
  </si>
  <si>
    <t>speaker for amp</t>
  </si>
  <si>
    <t>3V Sensors Stemma QT (piicodev or adafruit)</t>
  </si>
  <si>
    <t>one per sensor</t>
  </si>
  <si>
    <t>inc. amp and accel</t>
  </si>
  <si>
    <t>sensors should be 3V powered minimum</t>
  </si>
  <si>
    <t>any amplifier should be I2C compatible</t>
  </si>
  <si>
    <t>speaker should be 3 Watt 4 Ohm</t>
  </si>
  <si>
    <t>Purchasing</t>
  </si>
  <si>
    <t>Rasperry Pi Pico W or 2W (2W to use audio effects)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</si>
</sst>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2" fillId="5" borderId="0" xfId="0" applyFont="1" applyFill="1"/>
    <xf numFmtId="0" fontId="0" fillId="0" borderId="0" xfId="0" applyAlignment="1">
      <alignment horizontal="left"/>
    </xf>
    <xf numFmtId="0" fontId="1" fillId="5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A51C-060C-454B-AE91-115BB6A7A4AE}">
  <dimension ref="A1:H51"/>
  <sheetViews>
    <sheetView tabSelected="1" workbookViewId="0">
      <selection activeCell="B3" sqref="B3"/>
    </sheetView>
  </sheetViews>
  <sheetFormatPr defaultColWidth="11" defaultRowHeight="15.75" x14ac:dyDescent="0.25"/>
  <cols>
    <col min="1" max="1" width="15" bestFit="1" customWidth="1"/>
    <col min="2" max="2" width="49.625" bestFit="1" customWidth="1"/>
    <col min="3" max="3" width="13.5" customWidth="1"/>
    <col min="4" max="5" width="10.875" style="1"/>
    <col min="6" max="6" width="20" style="16" bestFit="1" customWidth="1"/>
    <col min="7" max="7" width="1.125" customWidth="1"/>
    <col min="8" max="8" width="41.625" customWidth="1"/>
  </cols>
  <sheetData>
    <row r="1" spans="1:8" s="9" customFormat="1" ht="24.95" customHeight="1" x14ac:dyDescent="0.25">
      <c r="A1" s="11" t="s">
        <v>18</v>
      </c>
      <c r="B1" s="10" t="s">
        <v>6</v>
      </c>
      <c r="C1" s="10" t="s">
        <v>1</v>
      </c>
      <c r="D1" s="11" t="s">
        <v>37</v>
      </c>
      <c r="E1" s="11" t="s">
        <v>41</v>
      </c>
      <c r="F1" s="21"/>
      <c r="H1" s="11" t="s">
        <v>34</v>
      </c>
    </row>
    <row r="2" spans="1:8" x14ac:dyDescent="0.25">
      <c r="A2" s="1"/>
    </row>
    <row r="3" spans="1:8" x14ac:dyDescent="0.25">
      <c r="A3" s="26">
        <v>1</v>
      </c>
      <c r="B3" s="4" t="s">
        <v>0</v>
      </c>
      <c r="C3" s="4" t="s">
        <v>2</v>
      </c>
      <c r="D3" s="3">
        <v>44</v>
      </c>
      <c r="E3" s="3">
        <v>1</v>
      </c>
      <c r="F3" s="22" t="s">
        <v>48</v>
      </c>
      <c r="H3" s="12" t="s">
        <v>17</v>
      </c>
    </row>
    <row r="4" spans="1:8" x14ac:dyDescent="0.25">
      <c r="A4" s="26"/>
      <c r="B4" s="4" t="s">
        <v>15</v>
      </c>
      <c r="C4" s="4" t="s">
        <v>10</v>
      </c>
      <c r="D4" s="3">
        <v>9</v>
      </c>
      <c r="E4" s="3">
        <v>1</v>
      </c>
      <c r="F4" s="22" t="s">
        <v>45</v>
      </c>
      <c r="H4" s="16" t="s">
        <v>36</v>
      </c>
    </row>
    <row r="5" spans="1:8" x14ac:dyDescent="0.25">
      <c r="A5" s="26"/>
      <c r="B5" s="4" t="s">
        <v>46</v>
      </c>
      <c r="C5" s="4" t="s">
        <v>9</v>
      </c>
      <c r="D5" s="3" t="s">
        <v>16</v>
      </c>
      <c r="E5" s="3" t="s">
        <v>16</v>
      </c>
      <c r="F5" s="22" t="s">
        <v>38</v>
      </c>
      <c r="H5" t="s">
        <v>35</v>
      </c>
    </row>
    <row r="6" spans="1:8" x14ac:dyDescent="0.25">
      <c r="A6" s="26"/>
      <c r="B6" s="4" t="s">
        <v>7</v>
      </c>
      <c r="C6" s="4" t="s">
        <v>8</v>
      </c>
      <c r="D6" s="3">
        <v>5</v>
      </c>
      <c r="E6" s="3">
        <v>1</v>
      </c>
      <c r="F6" s="22"/>
      <c r="H6" t="s">
        <v>49</v>
      </c>
    </row>
    <row r="7" spans="1:8" x14ac:dyDescent="0.25">
      <c r="A7" s="26"/>
      <c r="B7" s="4" t="s">
        <v>19</v>
      </c>
      <c r="C7" s="4"/>
      <c r="D7" s="3">
        <v>3.5</v>
      </c>
      <c r="E7" s="3">
        <v>2</v>
      </c>
      <c r="F7" s="22"/>
      <c r="H7" t="s">
        <v>50</v>
      </c>
    </row>
    <row r="8" spans="1:8" x14ac:dyDescent="0.25">
      <c r="A8" s="26"/>
      <c r="B8" s="4" t="s">
        <v>20</v>
      </c>
      <c r="C8" s="4"/>
      <c r="D8" s="3">
        <v>0.85</v>
      </c>
      <c r="E8" s="3">
        <v>3</v>
      </c>
      <c r="F8" s="22" t="s">
        <v>47</v>
      </c>
      <c r="H8" t="s">
        <v>51</v>
      </c>
    </row>
    <row r="9" spans="1:8" x14ac:dyDescent="0.25">
      <c r="A9" s="26"/>
      <c r="B9" s="4" t="s">
        <v>43</v>
      </c>
      <c r="C9" s="4"/>
      <c r="D9" s="3">
        <v>0.85</v>
      </c>
      <c r="E9" s="3">
        <v>6</v>
      </c>
      <c r="F9" s="22" t="s">
        <v>47</v>
      </c>
      <c r="H9" t="s">
        <v>50</v>
      </c>
    </row>
    <row r="10" spans="1:8" x14ac:dyDescent="0.25">
      <c r="A10" s="26"/>
      <c r="B10" s="18" t="s">
        <v>42</v>
      </c>
      <c r="C10" s="18"/>
      <c r="D10" s="19">
        <f>SUM(D3*E3)+(D4*E4)+(D6*E6)+(D7*E7)+(D8*E8)</f>
        <v>67.55</v>
      </c>
      <c r="E10" s="3"/>
      <c r="F10" s="22"/>
    </row>
    <row r="11" spans="1:8" x14ac:dyDescent="0.25">
      <c r="A11" s="1"/>
      <c r="H11" t="s">
        <v>52</v>
      </c>
    </row>
    <row r="12" spans="1:8" x14ac:dyDescent="0.25">
      <c r="A12" s="27">
        <v>2</v>
      </c>
      <c r="B12" s="6" t="s">
        <v>53</v>
      </c>
      <c r="C12" s="6" t="s">
        <v>2</v>
      </c>
      <c r="D12" s="5">
        <v>12</v>
      </c>
      <c r="E12" s="5">
        <v>1</v>
      </c>
      <c r="F12" s="23"/>
      <c r="H12" s="2" t="s">
        <v>21</v>
      </c>
    </row>
    <row r="13" spans="1:8" x14ac:dyDescent="0.25">
      <c r="A13" s="27"/>
      <c r="B13" s="6" t="s">
        <v>4</v>
      </c>
      <c r="C13" s="6" t="s">
        <v>11</v>
      </c>
      <c r="D13" s="5">
        <v>5</v>
      </c>
      <c r="E13" s="5">
        <v>1</v>
      </c>
      <c r="F13" s="23"/>
    </row>
    <row r="14" spans="1:8" x14ac:dyDescent="0.25">
      <c r="A14" s="27"/>
      <c r="B14" s="7" t="s">
        <v>5</v>
      </c>
      <c r="C14" s="6" t="s">
        <v>10</v>
      </c>
      <c r="D14" s="5">
        <v>14</v>
      </c>
      <c r="E14" s="5">
        <v>1</v>
      </c>
      <c r="F14" s="23" t="s">
        <v>44</v>
      </c>
    </row>
    <row r="15" spans="1:8" x14ac:dyDescent="0.25">
      <c r="A15" s="27"/>
      <c r="B15" s="6" t="s">
        <v>46</v>
      </c>
      <c r="C15" s="6" t="s">
        <v>9</v>
      </c>
      <c r="D15" s="5" t="s">
        <v>16</v>
      </c>
      <c r="E15" s="5"/>
      <c r="F15" s="23" t="s">
        <v>38</v>
      </c>
    </row>
    <row r="16" spans="1:8" x14ac:dyDescent="0.25">
      <c r="A16" s="27"/>
      <c r="B16" s="6" t="s">
        <v>14</v>
      </c>
      <c r="C16" s="6" t="s">
        <v>8</v>
      </c>
      <c r="D16" s="5">
        <v>3</v>
      </c>
      <c r="E16" s="5">
        <v>1</v>
      </c>
      <c r="F16" s="23"/>
    </row>
    <row r="17" spans="1:6" x14ac:dyDescent="0.25">
      <c r="A17" s="27"/>
      <c r="B17" s="6" t="s">
        <v>19</v>
      </c>
      <c r="C17" s="6" t="s">
        <v>40</v>
      </c>
      <c r="D17" s="5">
        <v>3.5</v>
      </c>
      <c r="E17" s="5">
        <v>2</v>
      </c>
      <c r="F17" s="23"/>
    </row>
    <row r="18" spans="1:6" x14ac:dyDescent="0.25">
      <c r="A18" s="27"/>
      <c r="B18" s="6" t="s">
        <v>20</v>
      </c>
      <c r="C18" s="6" t="s">
        <v>40</v>
      </c>
      <c r="D18" s="5">
        <v>0.85</v>
      </c>
      <c r="E18" s="5">
        <v>3</v>
      </c>
      <c r="F18" s="23" t="s">
        <v>47</v>
      </c>
    </row>
    <row r="19" spans="1:6" x14ac:dyDescent="0.25">
      <c r="A19" s="27"/>
      <c r="B19" s="6" t="s">
        <v>43</v>
      </c>
      <c r="C19" s="6" t="s">
        <v>40</v>
      </c>
      <c r="D19" s="5">
        <v>0.85</v>
      </c>
      <c r="E19" s="5">
        <v>6</v>
      </c>
      <c r="F19" s="23" t="s">
        <v>47</v>
      </c>
    </row>
    <row r="20" spans="1:6" x14ac:dyDescent="0.25">
      <c r="A20" s="27"/>
      <c r="B20" s="20" t="s">
        <v>42</v>
      </c>
      <c r="C20" s="6"/>
      <c r="D20" s="25">
        <f>SUM((D12*E12)+(D13*E13)+(D14*E14)+(D16*E16)+(D17*E17)+(D18*E18))</f>
        <v>43.55</v>
      </c>
      <c r="E20" s="5"/>
      <c r="F20" s="23"/>
    </row>
    <row r="21" spans="1:6" x14ac:dyDescent="0.25">
      <c r="A21" s="1"/>
    </row>
    <row r="22" spans="1:6" x14ac:dyDescent="0.25">
      <c r="A22" s="26">
        <v>3</v>
      </c>
      <c r="B22" s="4" t="s">
        <v>53</v>
      </c>
      <c r="C22" s="4" t="s">
        <v>2</v>
      </c>
      <c r="D22" s="3">
        <v>12</v>
      </c>
      <c r="E22" s="3">
        <v>1</v>
      </c>
      <c r="F22" s="22"/>
    </row>
    <row r="23" spans="1:6" x14ac:dyDescent="0.25">
      <c r="A23" s="26"/>
      <c r="B23" s="4" t="s">
        <v>4</v>
      </c>
      <c r="C23" s="4" t="s">
        <v>11</v>
      </c>
      <c r="D23" s="3">
        <v>5</v>
      </c>
      <c r="E23" s="3">
        <v>1</v>
      </c>
      <c r="F23" s="22"/>
    </row>
    <row r="24" spans="1:6" x14ac:dyDescent="0.25">
      <c r="A24" s="26"/>
      <c r="B24" s="4" t="s">
        <v>46</v>
      </c>
      <c r="C24" s="4" t="s">
        <v>9</v>
      </c>
      <c r="D24" s="3" t="s">
        <v>16</v>
      </c>
      <c r="E24" s="3"/>
      <c r="F24" s="22" t="s">
        <v>38</v>
      </c>
    </row>
    <row r="25" spans="1:6" x14ac:dyDescent="0.25">
      <c r="A25" s="26"/>
      <c r="B25" s="4" t="s">
        <v>14</v>
      </c>
      <c r="C25" s="4" t="s">
        <v>8</v>
      </c>
      <c r="D25" s="3">
        <v>3</v>
      </c>
      <c r="E25" s="3">
        <v>1</v>
      </c>
      <c r="F25" s="22"/>
    </row>
    <row r="26" spans="1:6" x14ac:dyDescent="0.25">
      <c r="A26" s="26"/>
      <c r="B26" s="8" t="s">
        <v>12</v>
      </c>
      <c r="C26" s="4" t="s">
        <v>10</v>
      </c>
      <c r="D26" s="3">
        <v>10</v>
      </c>
      <c r="E26" s="3">
        <v>1</v>
      </c>
      <c r="F26" s="22"/>
    </row>
    <row r="27" spans="1:6" x14ac:dyDescent="0.25">
      <c r="A27" s="26"/>
      <c r="B27" s="4" t="s">
        <v>3</v>
      </c>
      <c r="C27" s="4" t="s">
        <v>13</v>
      </c>
      <c r="D27" s="3">
        <v>9</v>
      </c>
      <c r="E27" s="3">
        <v>1</v>
      </c>
      <c r="F27" s="22" t="s">
        <v>45</v>
      </c>
    </row>
    <row r="28" spans="1:6" x14ac:dyDescent="0.25">
      <c r="A28" s="26"/>
      <c r="B28" s="4" t="s">
        <v>19</v>
      </c>
      <c r="C28" s="4" t="s">
        <v>40</v>
      </c>
      <c r="D28" s="3">
        <v>3.5</v>
      </c>
      <c r="E28" s="3">
        <v>2</v>
      </c>
      <c r="F28" s="22"/>
    </row>
    <row r="29" spans="1:6" x14ac:dyDescent="0.25">
      <c r="A29" s="26"/>
      <c r="B29" s="4" t="s">
        <v>20</v>
      </c>
      <c r="C29" s="4" t="s">
        <v>40</v>
      </c>
      <c r="D29" s="3">
        <v>0.85</v>
      </c>
      <c r="E29" s="3">
        <v>3</v>
      </c>
      <c r="F29" s="22" t="s">
        <v>47</v>
      </c>
    </row>
    <row r="30" spans="1:6" x14ac:dyDescent="0.25">
      <c r="A30" s="26"/>
      <c r="B30" s="4" t="s">
        <v>43</v>
      </c>
      <c r="C30" s="4" t="s">
        <v>40</v>
      </c>
      <c r="D30" s="3">
        <v>0.85</v>
      </c>
      <c r="E30" s="3">
        <v>6</v>
      </c>
      <c r="F30" s="22" t="s">
        <v>47</v>
      </c>
    </row>
    <row r="31" spans="1:6" x14ac:dyDescent="0.25">
      <c r="A31" s="26"/>
      <c r="B31" s="18" t="s">
        <v>42</v>
      </c>
      <c r="C31" s="4"/>
      <c r="D31" s="19">
        <f>SUM((D22*E22)+(D23*E23)+(D25*E25)+(D26*E26)+(D27*E27)+(D28*E28)+(D29*E29))</f>
        <v>48.55</v>
      </c>
      <c r="E31" s="3"/>
      <c r="F31" s="22"/>
    </row>
    <row r="32" spans="1:6" x14ac:dyDescent="0.25">
      <c r="A32" s="1"/>
    </row>
    <row r="33" spans="1:6" x14ac:dyDescent="0.25">
      <c r="A33" s="28">
        <v>4</v>
      </c>
      <c r="B33" s="14" t="s">
        <v>33</v>
      </c>
      <c r="C33" s="14"/>
      <c r="D33" s="13">
        <v>85</v>
      </c>
      <c r="E33" s="13"/>
      <c r="F33" s="24"/>
    </row>
    <row r="34" spans="1:6" x14ac:dyDescent="0.25">
      <c r="A34" s="28"/>
      <c r="B34" s="17" t="s">
        <v>5</v>
      </c>
      <c r="C34" s="14"/>
      <c r="D34" s="13">
        <v>14</v>
      </c>
      <c r="E34" s="13"/>
      <c r="F34" s="24">
        <f>SUM(D33:D34)</f>
        <v>99</v>
      </c>
    </row>
    <row r="35" spans="1:6" x14ac:dyDescent="0.25">
      <c r="A35" s="28"/>
      <c r="B35" s="14"/>
      <c r="C35" s="14"/>
      <c r="D35" s="14"/>
      <c r="E35" s="14"/>
      <c r="F35" s="14"/>
    </row>
    <row r="36" spans="1:6" x14ac:dyDescent="0.25">
      <c r="A36" s="28"/>
      <c r="B36" s="15" t="s">
        <v>22</v>
      </c>
      <c r="C36" s="14"/>
      <c r="D36" s="14"/>
      <c r="E36" s="14"/>
      <c r="F36" s="14"/>
    </row>
    <row r="37" spans="1:6" x14ac:dyDescent="0.25">
      <c r="A37" s="28"/>
      <c r="B37" s="14" t="s">
        <v>23</v>
      </c>
      <c r="C37" s="14"/>
      <c r="D37" s="14"/>
      <c r="E37" s="14"/>
      <c r="F37" s="14"/>
    </row>
    <row r="38" spans="1:6" x14ac:dyDescent="0.25">
      <c r="A38" s="28"/>
      <c r="B38" s="14" t="s">
        <v>24</v>
      </c>
      <c r="C38" s="14"/>
      <c r="D38" s="14"/>
      <c r="E38" s="14"/>
      <c r="F38" s="14"/>
    </row>
    <row r="39" spans="1:6" x14ac:dyDescent="0.25">
      <c r="A39" s="28"/>
      <c r="B39" s="14" t="s">
        <v>39</v>
      </c>
      <c r="C39" s="14"/>
      <c r="D39" s="14"/>
      <c r="E39" s="14"/>
      <c r="F39" s="14"/>
    </row>
    <row r="40" spans="1:6" x14ac:dyDescent="0.25">
      <c r="A40" s="28"/>
      <c r="B40" s="14" t="s">
        <v>25</v>
      </c>
      <c r="C40" s="14"/>
      <c r="D40" s="14"/>
      <c r="E40" s="14"/>
      <c r="F40" s="14"/>
    </row>
    <row r="41" spans="1:6" x14ac:dyDescent="0.25">
      <c r="A41" s="28"/>
      <c r="B41" s="14" t="s">
        <v>26</v>
      </c>
      <c r="C41" s="14"/>
      <c r="D41" s="14"/>
      <c r="E41" s="14"/>
      <c r="F41" s="14"/>
    </row>
    <row r="42" spans="1:6" x14ac:dyDescent="0.25">
      <c r="A42" s="28"/>
      <c r="B42" s="14" t="s">
        <v>27</v>
      </c>
      <c r="C42" s="14"/>
      <c r="D42" s="14"/>
      <c r="E42" s="14"/>
      <c r="F42" s="14"/>
    </row>
    <row r="43" spans="1:6" x14ac:dyDescent="0.25">
      <c r="A43" s="28"/>
      <c r="B43" s="14" t="s">
        <v>28</v>
      </c>
      <c r="C43" s="14"/>
      <c r="D43" s="14"/>
      <c r="E43" s="14"/>
      <c r="F43" s="14"/>
    </row>
    <row r="44" spans="1:6" x14ac:dyDescent="0.25">
      <c r="A44" s="28"/>
      <c r="B44" s="14" t="s">
        <v>29</v>
      </c>
      <c r="C44" s="14"/>
      <c r="D44" s="14"/>
      <c r="E44" s="14"/>
      <c r="F44" s="14"/>
    </row>
    <row r="45" spans="1:6" x14ac:dyDescent="0.25">
      <c r="A45" s="28"/>
      <c r="B45" s="14" t="s">
        <v>30</v>
      </c>
      <c r="C45" s="14"/>
      <c r="D45" s="14"/>
      <c r="E45" s="14"/>
      <c r="F45" s="14"/>
    </row>
    <row r="46" spans="1:6" x14ac:dyDescent="0.25">
      <c r="A46" s="28"/>
      <c r="B46" s="14" t="s">
        <v>31</v>
      </c>
      <c r="C46" s="14"/>
      <c r="D46" s="14"/>
      <c r="E46" s="14"/>
      <c r="F46" s="14"/>
    </row>
    <row r="47" spans="1:6" x14ac:dyDescent="0.25">
      <c r="A47" s="28"/>
      <c r="B47" s="14" t="s">
        <v>32</v>
      </c>
      <c r="C47" s="14"/>
      <c r="D47" s="14"/>
      <c r="E47" s="14"/>
      <c r="F47" s="14"/>
    </row>
    <row r="49" spans="1:2" x14ac:dyDescent="0.25">
      <c r="A49" s="1"/>
      <c r="B49" s="2"/>
    </row>
    <row r="50" spans="1:2" x14ac:dyDescent="0.25">
      <c r="A50" s="1"/>
    </row>
    <row r="51" spans="1:2" x14ac:dyDescent="0.25">
      <c r="A51" s="1"/>
    </row>
  </sheetData>
  <mergeCells count="4">
    <mergeCell ref="A3:A10"/>
    <mergeCell ref="A12:A20"/>
    <mergeCell ref="A22:A31"/>
    <mergeCell ref="A33:A47"/>
  </mergeCells>
  <pageMargins left="0.7" right="0.7" top="0.75" bottom="0.75" header="0.3" footer="0.3"/>
  <pageSetup paperSize="9" orientation="landscape" horizontalDpi="0" verticalDpi="0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Hannam</dc:creator>
  <cp:lastModifiedBy>jeffrey hannam</cp:lastModifiedBy>
  <cp:lastPrinted>2026-07-17T02:05:33Z</cp:lastPrinted>
  <dcterms:created xsi:type="dcterms:W3CDTF">2026-07-06T01:42:14Z</dcterms:created>
  <dcterms:modified xsi:type="dcterms:W3CDTF">2026-07-23T06:57:57Z</dcterms:modified>
</cp:coreProperties>
</file>